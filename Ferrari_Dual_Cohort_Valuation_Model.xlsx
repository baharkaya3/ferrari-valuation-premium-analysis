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Calculations" sheetId="2" r:id="rId6"/>
    <sheet state="visible" name="Raw Data" sheetId="3" r:id="rId7"/>
  </sheets>
  <definedNames/>
  <calcPr/>
</workbook>
</file>

<file path=xl/sharedStrings.xml><?xml version="1.0" encoding="utf-8"?>
<sst xmlns="http://schemas.openxmlformats.org/spreadsheetml/2006/main" count="150" uniqueCount="37">
  <si>
    <t>Company</t>
  </si>
  <si>
    <t>Cohort</t>
  </si>
  <si>
    <t>Year</t>
  </si>
  <si>
    <t>Currency</t>
  </si>
  <si>
    <t>Revenue</t>
  </si>
  <si>
    <t>Cost_of_Revenue</t>
  </si>
  <si>
    <t>Gross_Profit</t>
  </si>
  <si>
    <t>EBITDA</t>
  </si>
  <si>
    <t>Total_Debt</t>
  </si>
  <si>
    <t>Cash_and_Equivalents</t>
  </si>
  <si>
    <t xml:space="preserve">Market_Cap </t>
  </si>
  <si>
    <t>Ferrari</t>
  </si>
  <si>
    <t>Net_Debt</t>
  </si>
  <si>
    <t>Auto/Veblen(subject)</t>
  </si>
  <si>
    <t>Enterprise_Value</t>
  </si>
  <si>
    <t>EV_EBITDA</t>
  </si>
  <si>
    <t>EUR_million</t>
  </si>
  <si>
    <t>Gross_Margin_%</t>
  </si>
  <si>
    <t>EBITDA_Margin_%</t>
  </si>
  <si>
    <t>GBP_EUR_Avg</t>
  </si>
  <si>
    <t>GBP_EUR_Spot</t>
  </si>
  <si>
    <t>Porsche AG</t>
  </si>
  <si>
    <t>Auto</t>
  </si>
  <si>
    <t>Notes</t>
  </si>
  <si>
    <t>V1: Automotive Cohort→ V2:</t>
  </si>
  <si>
    <t>W1: Luxury Cohort → W2:</t>
  </si>
  <si>
    <t>X1: Ferrari → X2:</t>
  </si>
  <si>
    <t>Aston Martin</t>
  </si>
  <si>
    <t>GBP_million</t>
  </si>
  <si>
    <t>Hermes</t>
  </si>
  <si>
    <t>Luxury</t>
  </si>
  <si>
    <t>Adjusted EBITDA. Net Industrial Debt was 32m - not same as Total Debt/Cash, check annual report for detail. Shipments: 13640 units</t>
  </si>
  <si>
    <t>Ferretti Group</t>
  </si>
  <si>
    <t>Brunello</t>
  </si>
  <si>
    <t xml:space="preserve"> </t>
  </si>
  <si>
    <t xml:space="preserve">Converted to EUR </t>
  </si>
  <si>
    <t>May have limited pre-IPO history, check what is available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</si>
</sst>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111827"/>
      <name val="Arial"/>
    </font>
    <font>
      <sz val="10.0"/>
      <color rgb="FF111827"/>
      <name val="Ui-sans-serif"/>
    </font>
    <font>
      <sz val="10.0"/>
      <color rgb="FF111827"/>
      <name val="Arial"/>
      <scheme val="minor"/>
    </font>
    <font>
      <sz val="10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bottom style="thin">
        <color rgb="FFE5E7EB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1" fillId="2" fontId="2" numFmtId="0" xfId="0" applyAlignment="1" applyBorder="1" applyFill="1" applyFont="1">
      <alignment horizontal="left" readingOrder="0" shrinkToFit="0" wrapText="0"/>
    </xf>
    <xf borderId="1" fillId="2" fontId="3" numFmtId="0" xfId="0" applyAlignment="1" applyBorder="1" applyFont="1">
      <alignment horizontal="left" shrinkToFit="0" wrapText="0"/>
    </xf>
    <xf borderId="0" fillId="0" fontId="1" numFmtId="10" xfId="0" applyFont="1" applyNumberFormat="1"/>
    <xf borderId="0" fillId="0" fontId="1" numFmtId="0" xfId="0" applyFont="1"/>
    <xf borderId="0" fillId="2" fontId="4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  <a:r>
              <a:rPr b="0" sz="1600">
                <a:solidFill>
                  <a:srgbClr val="000000"/>
                </a:solidFill>
                <a:latin typeface="+mn-lt"/>
              </a:rPr>
              <a:t>Profitability and Valuation Relationship Across Peer Cohorts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Calculations!$V$1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 line for V1: Auto → V2: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Calculations!$P$2:$P$19</c:f>
            </c:numRef>
          </c:xVal>
          <c:yVal>
            <c:numRef>
              <c:f>Calculations!$V$2:$V$19</c:f>
              <c:numCache/>
            </c:numRef>
          </c:yVal>
        </c:ser>
        <c:ser>
          <c:idx val="1"/>
          <c:order val="1"/>
          <c:tx>
            <c:strRef>
              <c:f>Calculations!$W$1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Trend line for W1: Luxury → W2: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Calculations!$P$2:$P$19</c:f>
            </c:numRef>
          </c:xVal>
          <c:yVal>
            <c:numRef>
              <c:f>Calculations!$W$2:$W$19</c:f>
              <c:numCache/>
            </c:numRef>
          </c:yVal>
        </c:ser>
        <c:ser>
          <c:idx val="2"/>
          <c:order val="2"/>
          <c:tx>
            <c:strRef>
              <c:f>Calculations!$X$1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Calculations!$P$2:$P$19</c:f>
            </c:numRef>
          </c:xVal>
          <c:yVal>
            <c:numRef>
              <c:f>Calculations!$X$2:$X$19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521392"/>
        <c:axId val="183002803"/>
      </c:scatterChart>
      <c:valAx>
        <c:axId val="4775213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EBITDA Margin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002803"/>
      </c:valAx>
      <c:valAx>
        <c:axId val="1830028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EV/EBITDA Multiple (x)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7521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14</v>
      </c>
      <c r="N1" s="1" t="s">
        <v>15</v>
      </c>
      <c r="O1" s="1" t="s">
        <v>17</v>
      </c>
      <c r="P1" s="2" t="s">
        <v>18</v>
      </c>
      <c r="Q1" s="1" t="s">
        <v>19</v>
      </c>
      <c r="R1" s="1" t="s">
        <v>20</v>
      </c>
      <c r="S1" s="6">
        <f>CORREL($P$2:$P$19, $N$2:$N$19)</f>
        <v>0.7713515956</v>
      </c>
      <c r="T1" s="6">
        <f>_xlfn.T.DIST.2T(ABS(S1*SQRT(16)/SQRT(1-S1^2)), 16)</f>
        <v>0.0001779923531</v>
      </c>
      <c r="U1" s="1" t="s">
        <v>23</v>
      </c>
      <c r="V1" s="1" t="s">
        <v>24</v>
      </c>
      <c r="W1" s="1" t="s">
        <v>25</v>
      </c>
      <c r="X1" s="1" t="s">
        <v>26</v>
      </c>
      <c r="AA1" s="1"/>
    </row>
    <row r="2">
      <c r="A2" s="1" t="s">
        <v>11</v>
      </c>
      <c r="B2" s="1" t="s">
        <v>13</v>
      </c>
      <c r="C2" s="1">
        <v>2025.0</v>
      </c>
      <c r="D2" s="1" t="s">
        <v>16</v>
      </c>
      <c r="E2" s="1">
        <v>7146.0</v>
      </c>
      <c r="F2" s="1">
        <v>3453.0</v>
      </c>
      <c r="G2" s="1">
        <v>3693.0</v>
      </c>
      <c r="H2" s="1">
        <v>2772.0</v>
      </c>
      <c r="I2" s="1">
        <v>2884.0</v>
      </c>
      <c r="J2" s="1">
        <v>1468.0</v>
      </c>
      <c r="K2" s="3">
        <v>56570.0</v>
      </c>
      <c r="L2" s="4">
        <f t="shared" ref="L2:L19" si="1">I2-J2</f>
        <v>1416</v>
      </c>
      <c r="M2" s="6">
        <f t="shared" ref="M2:M19" si="2">K2+L2</f>
        <v>57986</v>
      </c>
      <c r="N2" s="6">
        <f t="shared" ref="N2:N19" si="3">M2/H2</f>
        <v>20.91847042</v>
      </c>
      <c r="O2" s="6">
        <f t="shared" ref="O2:O19" si="4">G2/E2</f>
        <v>0.5167926113</v>
      </c>
      <c r="P2" s="5">
        <f t="shared" ref="P2:P19" si="5">H2/E2</f>
        <v>0.3879093199</v>
      </c>
      <c r="U2" s="1" t="s">
        <v>31</v>
      </c>
      <c r="V2" s="6" t="str">
        <f t="shared" ref="V2:V19" si="6">IF($B2="Auto",$N2,"")</f>
        <v/>
      </c>
      <c r="W2" s="6" t="str">
        <f t="shared" ref="W2:W19" si="7">IF($B2="Luxury",$N2,"")</f>
        <v/>
      </c>
      <c r="X2" s="6">
        <f t="shared" ref="X2:X19" si="8">IF($B2="Auto/Veblen(subject)",$N2,"")</f>
        <v>20.91847042</v>
      </c>
    </row>
    <row r="3">
      <c r="A3" s="1" t="s">
        <v>11</v>
      </c>
      <c r="B3" s="1" t="s">
        <v>13</v>
      </c>
      <c r="C3" s="1">
        <v>2024.0</v>
      </c>
      <c r="D3" s="1" t="s">
        <v>16</v>
      </c>
      <c r="E3" s="1">
        <v>6677.0</v>
      </c>
      <c r="F3" s="1">
        <v>3329.0</v>
      </c>
      <c r="G3" s="1">
        <v>3347.0</v>
      </c>
      <c r="H3" s="1">
        <v>2555.0</v>
      </c>
      <c r="I3" s="1">
        <v>3352.0</v>
      </c>
      <c r="J3" s="1">
        <v>1742.0</v>
      </c>
      <c r="K3" s="3">
        <v>73620.0</v>
      </c>
      <c r="L3" s="4">
        <f t="shared" si="1"/>
        <v>1610</v>
      </c>
      <c r="M3" s="6">
        <f t="shared" si="2"/>
        <v>75230</v>
      </c>
      <c r="N3" s="6">
        <f t="shared" si="3"/>
        <v>29.44422701</v>
      </c>
      <c r="O3" s="6">
        <f t="shared" si="4"/>
        <v>0.5012730268</v>
      </c>
      <c r="P3" s="5">
        <f t="shared" si="5"/>
        <v>0.3826568818</v>
      </c>
      <c r="V3" s="6" t="str">
        <f t="shared" si="6"/>
        <v/>
      </c>
      <c r="W3" s="6" t="str">
        <f t="shared" si="7"/>
        <v/>
      </c>
      <c r="X3" s="6">
        <f t="shared" si="8"/>
        <v>29.44422701</v>
      </c>
    </row>
    <row r="4">
      <c r="A4" s="1" t="s">
        <v>11</v>
      </c>
      <c r="B4" s="1" t="s">
        <v>13</v>
      </c>
      <c r="C4" s="1">
        <v>2023.0</v>
      </c>
      <c r="D4" s="1" t="s">
        <v>16</v>
      </c>
      <c r="E4" s="1">
        <v>5970.0</v>
      </c>
      <c r="F4" s="1">
        <v>2996.0</v>
      </c>
      <c r="G4" s="1">
        <v>2974.0</v>
      </c>
      <c r="H4" s="1">
        <v>2280.0</v>
      </c>
      <c r="I4" s="1">
        <v>2477.0</v>
      </c>
      <c r="J4" s="1">
        <v>1122.0</v>
      </c>
      <c r="K4" s="7">
        <v>55050.0</v>
      </c>
      <c r="L4" s="4">
        <f t="shared" si="1"/>
        <v>1355</v>
      </c>
      <c r="M4" s="6">
        <f t="shared" si="2"/>
        <v>56405</v>
      </c>
      <c r="N4" s="6">
        <f t="shared" si="3"/>
        <v>24.73903509</v>
      </c>
      <c r="O4" s="6">
        <f t="shared" si="4"/>
        <v>0.4981574539</v>
      </c>
      <c r="P4" s="5">
        <f t="shared" si="5"/>
        <v>0.3819095477</v>
      </c>
      <c r="V4" s="6" t="str">
        <f t="shared" si="6"/>
        <v/>
      </c>
      <c r="W4" s="6" t="str">
        <f t="shared" si="7"/>
        <v/>
      </c>
      <c r="X4" s="6">
        <f t="shared" si="8"/>
        <v>24.73903509</v>
      </c>
    </row>
    <row r="5">
      <c r="A5" s="1" t="s">
        <v>21</v>
      </c>
      <c r="B5" s="1" t="s">
        <v>22</v>
      </c>
      <c r="C5" s="1">
        <v>2025.0</v>
      </c>
      <c r="D5" s="1" t="s">
        <v>16</v>
      </c>
      <c r="E5" s="1">
        <v>36272.0</v>
      </c>
      <c r="F5" s="1">
        <v>31221.0</v>
      </c>
      <c r="G5" s="1">
        <v>5051.0</v>
      </c>
      <c r="H5" s="1">
        <v>5864.0</v>
      </c>
      <c r="I5" s="1">
        <v>11431.0</v>
      </c>
      <c r="J5" s="1">
        <v>4996.0</v>
      </c>
      <c r="K5" s="8">
        <v>41560.0</v>
      </c>
      <c r="L5" s="4">
        <f t="shared" si="1"/>
        <v>6435</v>
      </c>
      <c r="M5" s="6">
        <f t="shared" si="2"/>
        <v>47995</v>
      </c>
      <c r="N5" s="6">
        <f t="shared" si="3"/>
        <v>8.184686221</v>
      </c>
      <c r="O5" s="6">
        <f t="shared" si="4"/>
        <v>0.1392534186</v>
      </c>
      <c r="P5" s="5">
        <f t="shared" si="5"/>
        <v>0.1616674019</v>
      </c>
      <c r="V5" s="6">
        <f t="shared" si="6"/>
        <v>8.184686221</v>
      </c>
      <c r="W5" s="6" t="str">
        <f t="shared" si="7"/>
        <v/>
      </c>
      <c r="X5" s="6" t="str">
        <f t="shared" si="8"/>
        <v/>
      </c>
    </row>
    <row r="6">
      <c r="A6" s="1" t="s">
        <v>21</v>
      </c>
      <c r="B6" s="1" t="s">
        <v>22</v>
      </c>
      <c r="C6" s="1">
        <v>2024.0</v>
      </c>
      <c r="D6" s="1" t="s">
        <v>16</v>
      </c>
      <c r="E6" s="1">
        <v>40083.0</v>
      </c>
      <c r="F6" s="1">
        <v>29756.0</v>
      </c>
      <c r="G6" s="1">
        <v>10327.0</v>
      </c>
      <c r="H6" s="1">
        <v>9725.0</v>
      </c>
      <c r="I6" s="1">
        <v>11413.0</v>
      </c>
      <c r="J6" s="1">
        <v>6384.0</v>
      </c>
      <c r="K6" s="8">
        <v>53220.0</v>
      </c>
      <c r="L6" s="4">
        <f t="shared" si="1"/>
        <v>5029</v>
      </c>
      <c r="M6" s="6">
        <f t="shared" si="2"/>
        <v>58249</v>
      </c>
      <c r="N6" s="6">
        <f t="shared" si="3"/>
        <v>5.989614396</v>
      </c>
      <c r="O6" s="6">
        <f t="shared" si="4"/>
        <v>0.2576403962</v>
      </c>
      <c r="P6" s="5">
        <f t="shared" si="5"/>
        <v>0.2426215603</v>
      </c>
      <c r="V6" s="6">
        <f t="shared" si="6"/>
        <v>5.989614396</v>
      </c>
      <c r="W6" s="6" t="str">
        <f t="shared" si="7"/>
        <v/>
      </c>
      <c r="X6" s="6" t="str">
        <f t="shared" si="8"/>
        <v/>
      </c>
    </row>
    <row r="7">
      <c r="A7" s="1" t="s">
        <v>21</v>
      </c>
      <c r="B7" s="1" t="s">
        <v>22</v>
      </c>
      <c r="C7" s="1">
        <v>2023.0</v>
      </c>
      <c r="D7" s="1" t="s">
        <v>16</v>
      </c>
      <c r="E7" s="1">
        <v>40530.0</v>
      </c>
      <c r="F7" s="1">
        <v>28924.0</v>
      </c>
      <c r="G7" s="1">
        <v>11606.0</v>
      </c>
      <c r="H7" s="1">
        <v>10812.0</v>
      </c>
      <c r="I7" s="1">
        <v>10417.0</v>
      </c>
      <c r="J7" s="1">
        <v>5820.0</v>
      </c>
      <c r="K7" s="8">
        <v>72790.0</v>
      </c>
      <c r="L7" s="4">
        <f t="shared" si="1"/>
        <v>4597</v>
      </c>
      <c r="M7" s="6">
        <f t="shared" si="2"/>
        <v>77387</v>
      </c>
      <c r="N7" s="6">
        <f t="shared" si="3"/>
        <v>7.157510174</v>
      </c>
      <c r="O7" s="6">
        <f t="shared" si="4"/>
        <v>0.2863557858</v>
      </c>
      <c r="P7" s="5">
        <f t="shared" si="5"/>
        <v>0.266765359</v>
      </c>
      <c r="V7" s="6">
        <f t="shared" si="6"/>
        <v>7.157510174</v>
      </c>
      <c r="W7" s="6" t="str">
        <f t="shared" si="7"/>
        <v/>
      </c>
      <c r="X7" s="6" t="str">
        <f t="shared" si="8"/>
        <v/>
      </c>
    </row>
    <row r="8">
      <c r="A8" s="1" t="s">
        <v>27</v>
      </c>
      <c r="B8" s="1" t="s">
        <v>22</v>
      </c>
      <c r="C8" s="1">
        <v>2025.0</v>
      </c>
      <c r="D8" s="1" t="s">
        <v>16</v>
      </c>
      <c r="E8" s="1">
        <f>1258*Q8</f>
        <v>1469.344</v>
      </c>
      <c r="F8" s="1">
        <f>887.9*Q8</f>
        <v>1037.0672</v>
      </c>
      <c r="G8" s="1">
        <f>369.8*Q8</f>
        <v>431.9264</v>
      </c>
      <c r="H8" s="1">
        <f>80.7*Q8</f>
        <v>94.2576</v>
      </c>
      <c r="I8" s="1">
        <f>1592*R8</f>
        <v>1824.432</v>
      </c>
      <c r="J8" s="1">
        <f>249.9*R8</f>
        <v>286.3854</v>
      </c>
      <c r="K8" s="9">
        <v>737.51</v>
      </c>
      <c r="L8" s="4">
        <f t="shared" si="1"/>
        <v>1538.0466</v>
      </c>
      <c r="M8" s="6">
        <f t="shared" si="2"/>
        <v>2275.5566</v>
      </c>
      <c r="N8" s="6">
        <f t="shared" si="3"/>
        <v>24.14188988</v>
      </c>
      <c r="O8" s="6">
        <f t="shared" si="4"/>
        <v>0.2939586645</v>
      </c>
      <c r="P8" s="5">
        <f t="shared" si="5"/>
        <v>0.06414944356</v>
      </c>
      <c r="Q8" s="10">
        <v>1.168</v>
      </c>
      <c r="R8" s="10">
        <v>1.146</v>
      </c>
      <c r="U8" s="1" t="s">
        <v>35</v>
      </c>
      <c r="V8" s="6">
        <f t="shared" si="6"/>
        <v>24.14188988</v>
      </c>
      <c r="W8" s="6" t="str">
        <f t="shared" si="7"/>
        <v/>
      </c>
      <c r="X8" s="6" t="str">
        <f t="shared" si="8"/>
        <v/>
      </c>
    </row>
    <row r="9">
      <c r="A9" s="1" t="s">
        <v>27</v>
      </c>
      <c r="B9" s="1" t="s">
        <v>22</v>
      </c>
      <c r="C9" s="1">
        <v>2024.0</v>
      </c>
      <c r="D9" s="1" t="s">
        <v>16</v>
      </c>
      <c r="E9" s="1">
        <f>1584*Q9</f>
        <v>1869.12</v>
      </c>
      <c r="F9" s="1">
        <f>1000*Q9</f>
        <v>1180</v>
      </c>
      <c r="G9" s="1">
        <f>583.9*Q9</f>
        <v>689.002</v>
      </c>
      <c r="H9" s="1">
        <f>254.2*Q9</f>
        <v>299.956</v>
      </c>
      <c r="I9" s="1">
        <f>1484*R9</f>
        <v>1794.898</v>
      </c>
      <c r="J9" s="1">
        <f>359.6*R9</f>
        <v>434.9362</v>
      </c>
      <c r="K9" s="9">
        <v>1200.0</v>
      </c>
      <c r="L9" s="4">
        <f t="shared" si="1"/>
        <v>1359.9618</v>
      </c>
      <c r="M9" s="6">
        <f t="shared" si="2"/>
        <v>2559.9618</v>
      </c>
      <c r="N9" s="6">
        <f t="shared" si="3"/>
        <v>8.53445772</v>
      </c>
      <c r="O9" s="6">
        <f t="shared" si="4"/>
        <v>0.3686237374</v>
      </c>
      <c r="P9" s="5">
        <f t="shared" si="5"/>
        <v>0.160479798</v>
      </c>
      <c r="Q9" s="10">
        <v>1.18</v>
      </c>
      <c r="R9" s="10">
        <v>1.2095</v>
      </c>
      <c r="U9" s="1" t="s">
        <v>35</v>
      </c>
      <c r="V9" s="6">
        <f t="shared" si="6"/>
        <v>8.53445772</v>
      </c>
      <c r="W9" s="6" t="str">
        <f t="shared" si="7"/>
        <v/>
      </c>
      <c r="X9" s="6" t="str">
        <f t="shared" si="8"/>
        <v/>
      </c>
    </row>
    <row r="10">
      <c r="A10" s="1" t="s">
        <v>27</v>
      </c>
      <c r="B10" s="1" t="s">
        <v>22</v>
      </c>
      <c r="C10" s="1">
        <v>2023.0</v>
      </c>
      <c r="D10" s="1" t="s">
        <v>16</v>
      </c>
      <c r="E10" s="1">
        <f>1633*Q10</f>
        <v>1877.95</v>
      </c>
      <c r="F10" s="1">
        <f>993.6*Q10</f>
        <v>1142.64</v>
      </c>
      <c r="G10" s="1">
        <f>639.2*Q10</f>
        <v>735.08</v>
      </c>
      <c r="H10" s="1">
        <f>271.8*Q10</f>
        <v>312.57</v>
      </c>
      <c r="I10" s="1">
        <f>1167*R10</f>
        <v>1345.9011</v>
      </c>
      <c r="J10" s="1">
        <f>392.4*R10</f>
        <v>452.55492</v>
      </c>
      <c r="K10" s="9">
        <v>2140.0</v>
      </c>
      <c r="L10" s="4">
        <f t="shared" si="1"/>
        <v>893.34618</v>
      </c>
      <c r="M10" s="6">
        <f t="shared" si="2"/>
        <v>3033.34618</v>
      </c>
      <c r="N10" s="6">
        <f t="shared" si="3"/>
        <v>9.70453396</v>
      </c>
      <c r="O10" s="6">
        <f t="shared" si="4"/>
        <v>0.3914268218</v>
      </c>
      <c r="P10" s="5">
        <f t="shared" si="5"/>
        <v>0.166442131</v>
      </c>
      <c r="Q10" s="10">
        <v>1.15</v>
      </c>
      <c r="R10" s="10">
        <v>1.1533</v>
      </c>
      <c r="U10" s="1" t="s">
        <v>35</v>
      </c>
      <c r="V10" s="6">
        <f t="shared" si="6"/>
        <v>9.70453396</v>
      </c>
      <c r="W10" s="6" t="str">
        <f t="shared" si="7"/>
        <v/>
      </c>
      <c r="X10" s="6" t="str">
        <f t="shared" si="8"/>
        <v/>
      </c>
    </row>
    <row r="11">
      <c r="A11" s="1" t="s">
        <v>29</v>
      </c>
      <c r="B11" s="1" t="s">
        <v>30</v>
      </c>
      <c r="C11" s="1">
        <v>2025.0</v>
      </c>
      <c r="D11" s="1" t="s">
        <v>16</v>
      </c>
      <c r="E11" s="1">
        <v>16002.0</v>
      </c>
      <c r="F11" s="1">
        <v>4623.0</v>
      </c>
      <c r="G11" s="1">
        <v>11379.0</v>
      </c>
      <c r="H11" s="1">
        <v>7495.0</v>
      </c>
      <c r="I11" s="1">
        <v>2346.0</v>
      </c>
      <c r="J11" s="1">
        <v>12239.0</v>
      </c>
      <c r="K11" s="9">
        <v>222460.0</v>
      </c>
      <c r="L11" s="4">
        <f t="shared" si="1"/>
        <v>-9893</v>
      </c>
      <c r="M11" s="6">
        <f t="shared" si="2"/>
        <v>212567</v>
      </c>
      <c r="N11" s="6">
        <f t="shared" si="3"/>
        <v>28.36117412</v>
      </c>
      <c r="O11" s="6">
        <f t="shared" si="4"/>
        <v>0.7110986127</v>
      </c>
      <c r="P11" s="5">
        <f t="shared" si="5"/>
        <v>0.4683789526</v>
      </c>
      <c r="V11" s="6" t="str">
        <f t="shared" si="6"/>
        <v/>
      </c>
      <c r="W11" s="6">
        <f t="shared" si="7"/>
        <v>28.36117412</v>
      </c>
      <c r="X11" s="6" t="str">
        <f t="shared" si="8"/>
        <v/>
      </c>
    </row>
    <row r="12">
      <c r="A12" s="1" t="s">
        <v>29</v>
      </c>
      <c r="B12" s="1" t="s">
        <v>30</v>
      </c>
      <c r="C12" s="1">
        <v>2024.0</v>
      </c>
      <c r="D12" s="1" t="s">
        <v>16</v>
      </c>
      <c r="E12" s="1">
        <v>15170.0</v>
      </c>
      <c r="F12" s="1">
        <v>4511.0</v>
      </c>
      <c r="G12" s="1">
        <v>10660.0</v>
      </c>
      <c r="H12" s="1">
        <v>6994.0</v>
      </c>
      <c r="I12" s="1">
        <v>2174.0</v>
      </c>
      <c r="J12" s="1">
        <v>11642.0</v>
      </c>
      <c r="K12" s="9">
        <v>243180.0</v>
      </c>
      <c r="L12" s="4">
        <f t="shared" si="1"/>
        <v>-9468</v>
      </c>
      <c r="M12" s="6">
        <f t="shared" si="2"/>
        <v>233712</v>
      </c>
      <c r="N12" s="6">
        <f t="shared" si="3"/>
        <v>33.41607092</v>
      </c>
      <c r="O12" s="6">
        <f t="shared" si="4"/>
        <v>0.7027027027</v>
      </c>
      <c r="P12" s="5">
        <f t="shared" si="5"/>
        <v>0.4610415293</v>
      </c>
      <c r="V12" s="6" t="str">
        <f t="shared" si="6"/>
        <v/>
      </c>
      <c r="W12" s="6">
        <f t="shared" si="7"/>
        <v>33.41607092</v>
      </c>
      <c r="X12" s="6" t="str">
        <f t="shared" si="8"/>
        <v/>
      </c>
    </row>
    <row r="13">
      <c r="A13" s="1" t="s">
        <v>29</v>
      </c>
      <c r="B13" s="1" t="s">
        <v>30</v>
      </c>
      <c r="C13" s="1">
        <v>2023.0</v>
      </c>
      <c r="D13" s="1" t="s">
        <v>16</v>
      </c>
      <c r="E13" s="1">
        <v>13427.0</v>
      </c>
      <c r="F13" s="1">
        <v>3720.0</v>
      </c>
      <c r="G13" s="1">
        <v>9708.0</v>
      </c>
      <c r="H13" s="1">
        <v>6422.0</v>
      </c>
      <c r="I13" s="1">
        <v>2060.0</v>
      </c>
      <c r="J13" s="1">
        <v>10625.0</v>
      </c>
      <c r="K13" s="9">
        <v>200590.0</v>
      </c>
      <c r="L13" s="4">
        <f t="shared" si="1"/>
        <v>-8565</v>
      </c>
      <c r="M13" s="6">
        <f t="shared" si="2"/>
        <v>192025</v>
      </c>
      <c r="N13" s="6">
        <f t="shared" si="3"/>
        <v>29.90112115</v>
      </c>
      <c r="O13" s="6">
        <f t="shared" si="4"/>
        <v>0.723020779</v>
      </c>
      <c r="P13" s="5">
        <f t="shared" si="5"/>
        <v>0.4782900127</v>
      </c>
      <c r="V13" s="6" t="str">
        <f t="shared" si="6"/>
        <v/>
      </c>
      <c r="W13" s="6">
        <f t="shared" si="7"/>
        <v>29.90112115</v>
      </c>
      <c r="X13" s="6" t="str">
        <f t="shared" si="8"/>
        <v/>
      </c>
    </row>
    <row r="14">
      <c r="A14" s="1" t="s">
        <v>32</v>
      </c>
      <c r="B14" s="1" t="s">
        <v>30</v>
      </c>
      <c r="C14" s="1">
        <v>2025.0</v>
      </c>
      <c r="D14" s="1" t="s">
        <v>16</v>
      </c>
      <c r="E14" s="1">
        <v>1369.0</v>
      </c>
      <c r="F14" s="1">
        <v>845.85</v>
      </c>
      <c r="G14" s="1">
        <v>523.01</v>
      </c>
      <c r="H14" s="1">
        <v>201.54</v>
      </c>
      <c r="I14" s="1">
        <v>53.8</v>
      </c>
      <c r="J14" s="1">
        <v>159.92</v>
      </c>
      <c r="K14" s="9">
        <v>1040.0</v>
      </c>
      <c r="L14" s="4">
        <f t="shared" si="1"/>
        <v>-106.12</v>
      </c>
      <c r="M14" s="6">
        <f t="shared" si="2"/>
        <v>933.88</v>
      </c>
      <c r="N14" s="6">
        <f t="shared" si="3"/>
        <v>4.633720353</v>
      </c>
      <c r="O14" s="6">
        <f t="shared" si="4"/>
        <v>0.3820379839</v>
      </c>
      <c r="P14" s="5">
        <f t="shared" si="5"/>
        <v>0.1472169467</v>
      </c>
      <c r="U14" s="1" t="s">
        <v>36</v>
      </c>
      <c r="V14" s="6" t="str">
        <f t="shared" si="6"/>
        <v/>
      </c>
      <c r="W14" s="6">
        <f t="shared" si="7"/>
        <v>4.633720353</v>
      </c>
      <c r="X14" s="6" t="str">
        <f t="shared" si="8"/>
        <v/>
      </c>
    </row>
    <row r="15">
      <c r="A15" s="1" t="s">
        <v>32</v>
      </c>
      <c r="B15" s="1" t="s">
        <v>30</v>
      </c>
      <c r="C15" s="1">
        <v>2024.0</v>
      </c>
      <c r="D15" s="1" t="s">
        <v>16</v>
      </c>
      <c r="E15" s="1">
        <v>1414.0</v>
      </c>
      <c r="F15" s="1">
        <v>893.65</v>
      </c>
      <c r="G15" s="1">
        <v>520.52</v>
      </c>
      <c r="H15" s="1">
        <v>189.89</v>
      </c>
      <c r="I15" s="1">
        <v>32.97</v>
      </c>
      <c r="J15" s="1">
        <v>155.74</v>
      </c>
      <c r="K15" s="9">
        <v>952.83</v>
      </c>
      <c r="L15" s="4">
        <f t="shared" si="1"/>
        <v>-122.77</v>
      </c>
      <c r="M15" s="6">
        <f t="shared" si="2"/>
        <v>830.06</v>
      </c>
      <c r="N15" s="6">
        <f t="shared" si="3"/>
        <v>4.371267576</v>
      </c>
      <c r="O15" s="6">
        <f t="shared" si="4"/>
        <v>0.3681188119</v>
      </c>
      <c r="P15" s="5">
        <f t="shared" si="5"/>
        <v>0.1342927864</v>
      </c>
      <c r="U15" s="1" t="s">
        <v>36</v>
      </c>
      <c r="V15" s="6" t="str">
        <f t="shared" si="6"/>
        <v/>
      </c>
      <c r="W15" s="6">
        <f t="shared" si="7"/>
        <v>4.371267576</v>
      </c>
      <c r="X15" s="6" t="str">
        <f t="shared" si="8"/>
        <v/>
      </c>
    </row>
    <row r="16">
      <c r="A16" s="1" t="s">
        <v>32</v>
      </c>
      <c r="B16" s="1" t="s">
        <v>30</v>
      </c>
      <c r="C16" s="1">
        <v>2023.0</v>
      </c>
      <c r="D16" s="1" t="s">
        <v>16</v>
      </c>
      <c r="E16" s="1">
        <v>1308.0</v>
      </c>
      <c r="F16" s="1">
        <v>824.95</v>
      </c>
      <c r="G16" s="1">
        <v>483.29</v>
      </c>
      <c r="H16" s="1">
        <v>162.66</v>
      </c>
      <c r="I16" s="1">
        <v>33.87</v>
      </c>
      <c r="J16" s="1">
        <v>314.11</v>
      </c>
      <c r="K16" s="9">
        <v>974.83</v>
      </c>
      <c r="L16" s="4">
        <f t="shared" si="1"/>
        <v>-280.24</v>
      </c>
      <c r="M16" s="6">
        <f t="shared" si="2"/>
        <v>694.59</v>
      </c>
      <c r="N16" s="6">
        <f t="shared" si="3"/>
        <v>4.2701955</v>
      </c>
      <c r="O16" s="6">
        <f t="shared" si="4"/>
        <v>0.3694877676</v>
      </c>
      <c r="P16" s="5">
        <f t="shared" si="5"/>
        <v>0.1243577982</v>
      </c>
      <c r="U16" s="1" t="s">
        <v>36</v>
      </c>
      <c r="V16" s="6" t="str">
        <f t="shared" si="6"/>
        <v/>
      </c>
      <c r="W16" s="6">
        <f t="shared" si="7"/>
        <v>4.2701955</v>
      </c>
      <c r="X16" s="6" t="str">
        <f t="shared" si="8"/>
        <v/>
      </c>
    </row>
    <row r="17">
      <c r="A17" s="1" t="s">
        <v>33</v>
      </c>
      <c r="B17" s="1" t="s">
        <v>30</v>
      </c>
      <c r="C17" s="1">
        <v>2025.0</v>
      </c>
      <c r="D17" s="1" t="s">
        <v>16</v>
      </c>
      <c r="E17" s="1">
        <v>1408.0</v>
      </c>
      <c r="F17" s="1">
        <v>121.1</v>
      </c>
      <c r="G17" s="1">
        <v>1287.0</v>
      </c>
      <c r="H17" s="1">
        <v>408.4</v>
      </c>
      <c r="I17" s="1">
        <v>1188.0</v>
      </c>
      <c r="J17" s="1">
        <v>202.85</v>
      </c>
      <c r="K17" s="9">
        <v>6690.0</v>
      </c>
      <c r="L17" s="4">
        <f t="shared" si="1"/>
        <v>985.15</v>
      </c>
      <c r="M17" s="6">
        <f t="shared" si="2"/>
        <v>7675.15</v>
      </c>
      <c r="N17" s="6">
        <f t="shared" si="3"/>
        <v>18.79321743</v>
      </c>
      <c r="O17" s="6">
        <f t="shared" si="4"/>
        <v>0.9140625</v>
      </c>
      <c r="P17" s="5">
        <f t="shared" si="5"/>
        <v>0.2900568182</v>
      </c>
      <c r="V17" s="6" t="str">
        <f t="shared" si="6"/>
        <v/>
      </c>
      <c r="W17" s="6">
        <f t="shared" si="7"/>
        <v>18.79321743</v>
      </c>
      <c r="X17" s="6" t="str">
        <f t="shared" si="8"/>
        <v/>
      </c>
    </row>
    <row r="18">
      <c r="A18" s="1" t="s">
        <v>33</v>
      </c>
      <c r="B18" s="1" t="s">
        <v>30</v>
      </c>
      <c r="C18" s="1">
        <v>2024.0</v>
      </c>
      <c r="D18" s="1" t="s">
        <v>16</v>
      </c>
      <c r="E18" s="1">
        <v>1279.0</v>
      </c>
      <c r="F18" s="1">
        <v>101.8</v>
      </c>
      <c r="G18" s="1">
        <v>1177.0</v>
      </c>
      <c r="H18" s="1">
        <v>364.68</v>
      </c>
      <c r="I18" s="1">
        <v>963.23</v>
      </c>
      <c r="J18" s="1">
        <v>182.05</v>
      </c>
      <c r="K18" s="9">
        <v>7160.0</v>
      </c>
      <c r="L18" s="4">
        <f t="shared" si="1"/>
        <v>781.18</v>
      </c>
      <c r="M18" s="6">
        <f t="shared" si="2"/>
        <v>7941.18</v>
      </c>
      <c r="N18" s="6">
        <f t="shared" si="3"/>
        <v>21.7757486</v>
      </c>
      <c r="O18" s="6">
        <f t="shared" si="4"/>
        <v>0.9202501955</v>
      </c>
      <c r="P18" s="5">
        <f t="shared" si="5"/>
        <v>0.285129007</v>
      </c>
      <c r="V18" s="6" t="str">
        <f t="shared" si="6"/>
        <v/>
      </c>
      <c r="W18" s="6">
        <f t="shared" si="7"/>
        <v>21.7757486</v>
      </c>
      <c r="X18" s="6" t="str">
        <f t="shared" si="8"/>
        <v/>
      </c>
    </row>
    <row r="19">
      <c r="A19" s="1" t="s">
        <v>33</v>
      </c>
      <c r="B19" s="1" t="s">
        <v>30</v>
      </c>
      <c r="C19" s="1">
        <v>2023.0</v>
      </c>
      <c r="D19" s="1" t="s">
        <v>16</v>
      </c>
      <c r="E19" s="1">
        <v>1139.0</v>
      </c>
      <c r="F19" s="1">
        <v>114.34</v>
      </c>
      <c r="G19" s="1">
        <v>1025.0</v>
      </c>
      <c r="H19" s="1">
        <v>326.25</v>
      </c>
      <c r="I19" s="1">
        <v>671.87</v>
      </c>
      <c r="J19" s="1">
        <v>106.94</v>
      </c>
      <c r="K19" s="9">
        <v>6020.0</v>
      </c>
      <c r="L19" s="4">
        <f t="shared" si="1"/>
        <v>564.93</v>
      </c>
      <c r="M19" s="6">
        <f t="shared" si="2"/>
        <v>6584.93</v>
      </c>
      <c r="N19" s="6">
        <f t="shared" si="3"/>
        <v>20.18369349</v>
      </c>
      <c r="O19" s="6">
        <f t="shared" si="4"/>
        <v>0.8999122037</v>
      </c>
      <c r="P19" s="5">
        <f t="shared" si="5"/>
        <v>0.2864354697</v>
      </c>
      <c r="V19" s="6" t="str">
        <f t="shared" si="6"/>
        <v/>
      </c>
      <c r="W19" s="6">
        <f t="shared" si="7"/>
        <v>20.18369349</v>
      </c>
      <c r="X19" s="6" t="str">
        <f t="shared" si="8"/>
        <v/>
      </c>
    </row>
    <row r="24">
      <c r="I24" s="1" t="s">
        <v>34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P1" s="2"/>
    </row>
    <row r="2">
      <c r="A2" s="1" t="s">
        <v>11</v>
      </c>
      <c r="B2" s="1" t="s">
        <v>13</v>
      </c>
      <c r="C2" s="1">
        <v>2025.0</v>
      </c>
      <c r="D2" s="1" t="s">
        <v>16</v>
      </c>
      <c r="E2" s="1">
        <v>7146.0</v>
      </c>
      <c r="F2" s="1">
        <v>3453.0</v>
      </c>
      <c r="G2" s="1">
        <v>3693.0</v>
      </c>
      <c r="H2" s="1">
        <v>2772.0</v>
      </c>
      <c r="I2" s="1">
        <v>2884.0</v>
      </c>
      <c r="J2" s="1">
        <v>1468.0</v>
      </c>
      <c r="K2" s="3">
        <v>56570.0</v>
      </c>
      <c r="L2" s="4"/>
      <c r="P2" s="5"/>
    </row>
    <row r="3">
      <c r="A3" s="1" t="s">
        <v>11</v>
      </c>
      <c r="B3" s="1" t="s">
        <v>13</v>
      </c>
      <c r="C3" s="1">
        <v>2024.0</v>
      </c>
      <c r="D3" s="1" t="s">
        <v>16</v>
      </c>
      <c r="E3" s="1">
        <v>6677.0</v>
      </c>
      <c r="F3" s="1">
        <v>3329.0</v>
      </c>
      <c r="G3" s="1">
        <v>3347.0</v>
      </c>
      <c r="H3" s="1">
        <v>2555.0</v>
      </c>
      <c r="I3" s="1">
        <v>3352.0</v>
      </c>
      <c r="J3" s="1">
        <v>1742.0</v>
      </c>
      <c r="K3" s="3">
        <v>73620.0</v>
      </c>
      <c r="L3" s="4"/>
      <c r="P3" s="5"/>
    </row>
    <row r="4">
      <c r="A4" s="1" t="s">
        <v>11</v>
      </c>
      <c r="B4" s="1" t="s">
        <v>13</v>
      </c>
      <c r="C4" s="1">
        <v>2023.0</v>
      </c>
      <c r="D4" s="1" t="s">
        <v>16</v>
      </c>
      <c r="E4" s="1">
        <v>5970.0</v>
      </c>
      <c r="F4" s="1">
        <v>2996.0</v>
      </c>
      <c r="G4" s="1">
        <v>2974.0</v>
      </c>
      <c r="H4" s="1">
        <v>2280.0</v>
      </c>
      <c r="I4" s="1">
        <v>2477.0</v>
      </c>
      <c r="J4" s="1">
        <v>1122.0</v>
      </c>
      <c r="K4" s="7">
        <v>55050.0</v>
      </c>
      <c r="L4" s="4"/>
      <c r="P4" s="5"/>
    </row>
    <row r="5">
      <c r="A5" s="1" t="s">
        <v>21</v>
      </c>
      <c r="B5" s="1" t="s">
        <v>22</v>
      </c>
      <c r="C5" s="1">
        <v>2025.0</v>
      </c>
      <c r="D5" s="1" t="s">
        <v>16</v>
      </c>
      <c r="E5" s="1">
        <v>36272.0</v>
      </c>
      <c r="F5" s="1">
        <v>31221.0</v>
      </c>
      <c r="G5" s="1">
        <v>5051.0</v>
      </c>
      <c r="H5" s="1">
        <v>5864.0</v>
      </c>
      <c r="I5" s="1">
        <v>11431.0</v>
      </c>
      <c r="J5" s="1">
        <v>4996.0</v>
      </c>
      <c r="K5" s="8">
        <v>41560.0</v>
      </c>
      <c r="L5" s="4"/>
      <c r="P5" s="5"/>
    </row>
    <row r="6">
      <c r="A6" s="1" t="s">
        <v>21</v>
      </c>
      <c r="B6" s="1" t="s">
        <v>22</v>
      </c>
      <c r="C6" s="1">
        <v>2024.0</v>
      </c>
      <c r="D6" s="1" t="s">
        <v>16</v>
      </c>
      <c r="E6" s="1">
        <v>40083.0</v>
      </c>
      <c r="F6" s="1">
        <v>29756.0</v>
      </c>
      <c r="G6" s="1">
        <v>10327.0</v>
      </c>
      <c r="H6" s="1">
        <v>9725.0</v>
      </c>
      <c r="I6" s="1">
        <v>11413.0</v>
      </c>
      <c r="J6" s="1">
        <v>6384.0</v>
      </c>
      <c r="K6" s="8">
        <v>53220.0</v>
      </c>
      <c r="L6" s="4"/>
      <c r="P6" s="5"/>
    </row>
    <row r="7">
      <c r="A7" s="1" t="s">
        <v>21</v>
      </c>
      <c r="B7" s="1" t="s">
        <v>22</v>
      </c>
      <c r="C7" s="1">
        <v>2023.0</v>
      </c>
      <c r="D7" s="1" t="s">
        <v>16</v>
      </c>
      <c r="E7" s="1">
        <v>40530.0</v>
      </c>
      <c r="F7" s="1">
        <v>28924.0</v>
      </c>
      <c r="G7" s="1">
        <v>11606.0</v>
      </c>
      <c r="H7" s="1">
        <v>10812.0</v>
      </c>
      <c r="I7" s="1">
        <v>10417.0</v>
      </c>
      <c r="J7" s="1">
        <v>5820.0</v>
      </c>
      <c r="K7" s="8">
        <v>72790.0</v>
      </c>
      <c r="L7" s="4"/>
      <c r="P7" s="5"/>
    </row>
    <row r="8">
      <c r="A8" s="1" t="s">
        <v>27</v>
      </c>
      <c r="B8" s="1" t="s">
        <v>22</v>
      </c>
      <c r="C8" s="1">
        <v>2025.0</v>
      </c>
      <c r="D8" s="1" t="s">
        <v>28</v>
      </c>
      <c r="E8" s="1">
        <v>1258.0</v>
      </c>
      <c r="F8" s="1">
        <v>887.9</v>
      </c>
      <c r="G8" s="1">
        <v>369.8</v>
      </c>
      <c r="H8" s="1">
        <v>80.7</v>
      </c>
      <c r="I8" s="1">
        <v>1592.0</v>
      </c>
      <c r="J8" s="1">
        <v>249.9</v>
      </c>
      <c r="K8" s="9">
        <v>643.5</v>
      </c>
      <c r="L8" s="4"/>
      <c r="P8" s="5"/>
      <c r="Q8" s="10"/>
      <c r="R8" s="10"/>
    </row>
    <row r="9">
      <c r="A9" s="1" t="s">
        <v>27</v>
      </c>
      <c r="B9" s="1" t="s">
        <v>22</v>
      </c>
      <c r="C9" s="1">
        <v>2024.0</v>
      </c>
      <c r="D9" s="1" t="s">
        <v>28</v>
      </c>
      <c r="E9" s="1">
        <v>1584.0</v>
      </c>
      <c r="F9" s="1">
        <v>1000.0</v>
      </c>
      <c r="G9" s="1">
        <v>583.9</v>
      </c>
      <c r="H9" s="1">
        <v>254.2</v>
      </c>
      <c r="I9" s="1">
        <v>1484.0</v>
      </c>
      <c r="J9" s="1">
        <v>359.6</v>
      </c>
      <c r="K9" s="9">
        <v>992.1</v>
      </c>
      <c r="L9" s="4"/>
      <c r="P9" s="5"/>
      <c r="Q9" s="10"/>
      <c r="R9" s="10"/>
    </row>
    <row r="10">
      <c r="A10" s="1" t="s">
        <v>27</v>
      </c>
      <c r="B10" s="1" t="s">
        <v>22</v>
      </c>
      <c r="C10" s="1">
        <v>2023.0</v>
      </c>
      <c r="D10" s="1" t="s">
        <v>28</v>
      </c>
      <c r="E10" s="1">
        <v>1633.0</v>
      </c>
      <c r="F10" s="1">
        <v>993.6</v>
      </c>
      <c r="G10" s="1">
        <v>639.2</v>
      </c>
      <c r="H10" s="1">
        <v>271.8</v>
      </c>
      <c r="I10" s="1">
        <v>1167.0</v>
      </c>
      <c r="J10" s="1">
        <v>392.4</v>
      </c>
      <c r="K10" s="9">
        <v>1855.5</v>
      </c>
      <c r="L10" s="4"/>
      <c r="P10" s="5"/>
      <c r="Q10" s="10"/>
      <c r="R10" s="10"/>
    </row>
    <row r="11">
      <c r="A11" s="1" t="s">
        <v>29</v>
      </c>
      <c r="B11" s="1" t="s">
        <v>30</v>
      </c>
      <c r="C11" s="1">
        <v>2025.0</v>
      </c>
      <c r="D11" s="1" t="s">
        <v>16</v>
      </c>
      <c r="E11" s="1">
        <v>16002.0</v>
      </c>
      <c r="F11" s="1">
        <v>4623.0</v>
      </c>
      <c r="G11" s="1">
        <v>11379.0</v>
      </c>
      <c r="H11" s="1">
        <v>7495.0</v>
      </c>
      <c r="I11" s="1">
        <v>2346.0</v>
      </c>
      <c r="J11" s="1">
        <v>12239.0</v>
      </c>
      <c r="K11" s="9">
        <v>222460.0</v>
      </c>
      <c r="L11" s="4"/>
      <c r="P11" s="5"/>
    </row>
    <row r="12">
      <c r="A12" s="1" t="s">
        <v>29</v>
      </c>
      <c r="B12" s="1" t="s">
        <v>30</v>
      </c>
      <c r="C12" s="1">
        <v>2024.0</v>
      </c>
      <c r="D12" s="1" t="s">
        <v>16</v>
      </c>
      <c r="E12" s="1">
        <v>15170.0</v>
      </c>
      <c r="F12" s="1">
        <v>4511.0</v>
      </c>
      <c r="G12" s="1">
        <v>10660.0</v>
      </c>
      <c r="H12" s="1">
        <v>6994.0</v>
      </c>
      <c r="I12" s="1">
        <v>2174.0</v>
      </c>
      <c r="J12" s="1">
        <v>11642.0</v>
      </c>
      <c r="K12" s="9">
        <v>243180.0</v>
      </c>
      <c r="L12" s="4"/>
      <c r="P12" s="5"/>
    </row>
    <row r="13">
      <c r="A13" s="1" t="s">
        <v>29</v>
      </c>
      <c r="B13" s="1" t="s">
        <v>30</v>
      </c>
      <c r="C13" s="1">
        <v>2023.0</v>
      </c>
      <c r="D13" s="1" t="s">
        <v>16</v>
      </c>
      <c r="E13" s="1">
        <v>13427.0</v>
      </c>
      <c r="F13" s="1">
        <v>3720.0</v>
      </c>
      <c r="G13" s="1">
        <v>9708.0</v>
      </c>
      <c r="H13" s="1">
        <v>6422.0</v>
      </c>
      <c r="I13" s="1">
        <v>2060.0</v>
      </c>
      <c r="J13" s="1">
        <v>10625.0</v>
      </c>
      <c r="K13" s="9">
        <v>200590.0</v>
      </c>
      <c r="L13" s="4"/>
      <c r="P13" s="5"/>
    </row>
    <row r="14">
      <c r="A14" s="1" t="s">
        <v>32</v>
      </c>
      <c r="B14" s="1" t="s">
        <v>30</v>
      </c>
      <c r="C14" s="1">
        <v>2025.0</v>
      </c>
      <c r="D14" s="1" t="s">
        <v>16</v>
      </c>
      <c r="E14" s="1">
        <v>1369.0</v>
      </c>
      <c r="F14" s="1">
        <v>845.85</v>
      </c>
      <c r="G14" s="1">
        <v>523.01</v>
      </c>
      <c r="H14" s="1">
        <v>201.54</v>
      </c>
      <c r="I14" s="1">
        <v>53.8</v>
      </c>
      <c r="J14" s="1">
        <v>159.92</v>
      </c>
      <c r="K14" s="9">
        <v>1040.0</v>
      </c>
      <c r="L14" s="4"/>
      <c r="P14" s="5"/>
    </row>
    <row r="15">
      <c r="A15" s="1" t="s">
        <v>32</v>
      </c>
      <c r="B15" s="1" t="s">
        <v>30</v>
      </c>
      <c r="C15" s="1">
        <v>2024.0</v>
      </c>
      <c r="D15" s="1" t="s">
        <v>16</v>
      </c>
      <c r="E15" s="1">
        <v>1414.0</v>
      </c>
      <c r="F15" s="1">
        <v>893.65</v>
      </c>
      <c r="G15" s="1">
        <v>520.52</v>
      </c>
      <c r="H15" s="1">
        <v>189.89</v>
      </c>
      <c r="I15" s="1">
        <v>32.97</v>
      </c>
      <c r="J15" s="1">
        <v>155.74</v>
      </c>
      <c r="K15" s="9">
        <v>952.83</v>
      </c>
      <c r="L15" s="4"/>
      <c r="P15" s="5"/>
    </row>
    <row r="16">
      <c r="A16" s="1" t="s">
        <v>32</v>
      </c>
      <c r="B16" s="1" t="s">
        <v>30</v>
      </c>
      <c r="C16" s="1">
        <v>2023.0</v>
      </c>
      <c r="D16" s="1" t="s">
        <v>16</v>
      </c>
      <c r="E16" s="1">
        <v>1308.0</v>
      </c>
      <c r="F16" s="1">
        <v>824.95</v>
      </c>
      <c r="G16" s="1">
        <v>483.29</v>
      </c>
      <c r="H16" s="1">
        <v>162.66</v>
      </c>
      <c r="I16" s="1">
        <v>33.87</v>
      </c>
      <c r="J16" s="1">
        <v>314.11</v>
      </c>
      <c r="K16" s="9">
        <v>974.83</v>
      </c>
      <c r="L16" s="4"/>
      <c r="P16" s="5"/>
    </row>
    <row r="17">
      <c r="A17" s="1" t="s">
        <v>33</v>
      </c>
      <c r="B17" s="1" t="s">
        <v>30</v>
      </c>
      <c r="C17" s="1">
        <v>2025.0</v>
      </c>
      <c r="D17" s="1" t="s">
        <v>16</v>
      </c>
      <c r="E17" s="1">
        <v>1408.0</v>
      </c>
      <c r="F17" s="1">
        <v>121.1</v>
      </c>
      <c r="G17" s="1">
        <v>1287.0</v>
      </c>
      <c r="H17" s="1">
        <v>408.4</v>
      </c>
      <c r="I17" s="1">
        <v>1188.0</v>
      </c>
      <c r="J17" s="1">
        <v>202.85</v>
      </c>
      <c r="K17" s="9">
        <v>6690.0</v>
      </c>
      <c r="L17" s="4"/>
      <c r="P17" s="5"/>
    </row>
    <row r="18">
      <c r="A18" s="1" t="s">
        <v>33</v>
      </c>
      <c r="B18" s="1" t="s">
        <v>30</v>
      </c>
      <c r="C18" s="1">
        <v>2024.0</v>
      </c>
      <c r="D18" s="1" t="s">
        <v>16</v>
      </c>
      <c r="E18" s="1">
        <v>1279.0</v>
      </c>
      <c r="F18" s="1">
        <v>101.8</v>
      </c>
      <c r="G18" s="1">
        <v>1177.0</v>
      </c>
      <c r="H18" s="1">
        <v>364.68</v>
      </c>
      <c r="I18" s="1">
        <v>963.23</v>
      </c>
      <c r="J18" s="1">
        <v>182.05</v>
      </c>
      <c r="K18" s="9">
        <v>7160.0</v>
      </c>
      <c r="L18" s="4"/>
      <c r="P18" s="5"/>
    </row>
    <row r="19">
      <c r="A19" s="1" t="s">
        <v>33</v>
      </c>
      <c r="B19" s="1" t="s">
        <v>30</v>
      </c>
      <c r="C19" s="1">
        <v>2023.0</v>
      </c>
      <c r="D19" s="1" t="s">
        <v>16</v>
      </c>
      <c r="E19" s="1">
        <v>1139.0</v>
      </c>
      <c r="F19" s="1">
        <v>114.34</v>
      </c>
      <c r="G19" s="1">
        <v>1025.0</v>
      </c>
      <c r="H19" s="1">
        <v>326.25</v>
      </c>
      <c r="I19" s="1">
        <v>671.87</v>
      </c>
      <c r="J19" s="1">
        <v>106.94</v>
      </c>
      <c r="K19" s="9">
        <v>6020.0</v>
      </c>
      <c r="L19" s="4"/>
      <c r="P19" s="5"/>
    </row>
    <row r="24">
      <c r="I24" s="1" t="s">
        <v>34</v>
      </c>
    </row>
  </sheetData>
  <drawing r:id="rId1"/>
</worksheet>
</file>